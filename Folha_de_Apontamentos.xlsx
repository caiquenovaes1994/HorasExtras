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caiqu\.gemini\antigravity\scratch\HorasExtras\"/>
    </mc:Choice>
  </mc:AlternateContent>
  <xr:revisionPtr revIDLastSave="0" documentId="13_ncr:1_{9C4FFA34-B545-4BBA-BB14-0319F8C0432F}" xr6:coauthVersionLast="47" xr6:coauthVersionMax="47" xr10:uidLastSave="{00000000-0000-0000-0000-000000000000}"/>
  <bookViews>
    <workbookView xWindow="-25320" yWindow="270" windowWidth="25440" windowHeight="15270" tabRatio="559" xr2:uid="{00000000-000D-0000-FFFF-FFFF00000000}"/>
  </bookViews>
  <sheets>
    <sheet name="Folha de HE" sheetId="1" r:id="rId1"/>
  </sheets>
  <definedNames>
    <definedName name="_xlnm.Print_Area" localSheetId="0">'Folha de HE'!$A$1:$K$44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  <c r="A8" i="1" s="1"/>
  <c r="Q22" i="1"/>
  <c r="O22" i="1" s="1"/>
  <c r="Q23" i="1"/>
  <c r="Q24" i="1"/>
  <c r="O24" i="1" s="1"/>
  <c r="Q25" i="1"/>
  <c r="O25" i="1" s="1"/>
  <c r="Q26" i="1"/>
  <c r="O26" i="1" s="1"/>
  <c r="Q27" i="1"/>
  <c r="Q28" i="1"/>
  <c r="Q29" i="1"/>
  <c r="O29" i="1" s="1"/>
  <c r="Q30" i="1"/>
  <c r="O30" i="1" s="1"/>
  <c r="Q31" i="1"/>
  <c r="O31" i="1" s="1"/>
  <c r="Q32" i="1"/>
  <c r="O32" i="1" s="1"/>
  <c r="Q33" i="1"/>
  <c r="O33" i="1" s="1"/>
  <c r="Q34" i="1"/>
  <c r="O34" i="1" s="1"/>
  <c r="Q21" i="1"/>
  <c r="O21" i="1"/>
  <c r="Q7" i="1"/>
  <c r="O7" i="1" s="1"/>
  <c r="H17" i="1"/>
  <c r="J17" i="1" s="1"/>
  <c r="H18" i="1"/>
  <c r="J18" i="1" s="1"/>
  <c r="H19" i="1"/>
  <c r="I19" i="1" s="1"/>
  <c r="H20" i="1"/>
  <c r="I20" i="1" s="1"/>
  <c r="H21" i="1"/>
  <c r="I21" i="1" s="1"/>
  <c r="H22" i="1"/>
  <c r="J22" i="1" s="1"/>
  <c r="H23" i="1"/>
  <c r="H24" i="1"/>
  <c r="I24" i="1" s="1"/>
  <c r="H25" i="1"/>
  <c r="H26" i="1"/>
  <c r="J26" i="1" s="1"/>
  <c r="H27" i="1"/>
  <c r="H28" i="1"/>
  <c r="J28" i="1" s="1"/>
  <c r="H29" i="1"/>
  <c r="I29" i="1" s="1"/>
  <c r="H30" i="1"/>
  <c r="H31" i="1"/>
  <c r="H32" i="1"/>
  <c r="I32" i="1" s="1"/>
  <c r="H33" i="1"/>
  <c r="H34" i="1"/>
  <c r="J34" i="1" s="1"/>
  <c r="H35" i="1"/>
  <c r="J35" i="1" s="1"/>
  <c r="H36" i="1"/>
  <c r="I36" i="1" s="1"/>
  <c r="H37" i="1"/>
  <c r="I37" i="1" s="1"/>
  <c r="H10" i="1"/>
  <c r="I10" i="1" s="1"/>
  <c r="H11" i="1"/>
  <c r="J11" i="1" s="1"/>
  <c r="H12" i="1"/>
  <c r="H13" i="1"/>
  <c r="J13" i="1" s="1"/>
  <c r="H14" i="1"/>
  <c r="I14" i="1" s="1"/>
  <c r="H15" i="1"/>
  <c r="H16" i="1"/>
  <c r="J16" i="1" s="1"/>
  <c r="H8" i="1"/>
  <c r="I8" i="1" s="1"/>
  <c r="H9" i="1"/>
  <c r="I9" i="1" s="1"/>
  <c r="H7" i="1"/>
  <c r="I7" i="1" s="1"/>
  <c r="I12" i="1"/>
  <c r="J12" i="1"/>
  <c r="I15" i="1"/>
  <c r="J15" i="1"/>
  <c r="I16" i="1"/>
  <c r="Q14" i="1"/>
  <c r="J23" i="1"/>
  <c r="J25" i="1"/>
  <c r="J27" i="1"/>
  <c r="J30" i="1"/>
  <c r="J31" i="1"/>
  <c r="J33" i="1"/>
  <c r="I23" i="1"/>
  <c r="I25" i="1"/>
  <c r="I27" i="1"/>
  <c r="I30" i="1"/>
  <c r="I31" i="1"/>
  <c r="I33" i="1"/>
  <c r="J20" i="1" l="1"/>
  <c r="J19" i="1"/>
  <c r="J14" i="1"/>
  <c r="I28" i="1"/>
  <c r="J36" i="1"/>
  <c r="I35" i="1"/>
  <c r="I18" i="1"/>
  <c r="I22" i="1"/>
  <c r="I17" i="1"/>
  <c r="C7" i="1"/>
  <c r="O27" i="1"/>
  <c r="O23" i="1"/>
  <c r="I11" i="1"/>
  <c r="J10" i="1"/>
  <c r="I13" i="1"/>
  <c r="J32" i="1"/>
  <c r="J24" i="1"/>
  <c r="I34" i="1"/>
  <c r="I26" i="1"/>
  <c r="J37" i="1"/>
  <c r="J29" i="1"/>
  <c r="J21" i="1"/>
  <c r="J8" i="1"/>
  <c r="J9" i="1"/>
  <c r="J7" i="1"/>
  <c r="Q20" i="1"/>
  <c r="O20" i="1" s="1"/>
  <c r="Q19" i="1"/>
  <c r="O19" i="1" s="1"/>
  <c r="Q18" i="1"/>
  <c r="O18" i="1" s="1"/>
  <c r="Q17" i="1"/>
  <c r="O17" i="1" s="1"/>
  <c r="Q16" i="1"/>
  <c r="O16" i="1" s="1"/>
  <c r="Q15" i="1"/>
  <c r="O15" i="1" s="1"/>
  <c r="Q13" i="1"/>
  <c r="Q12" i="1"/>
  <c r="O12" i="1" s="1"/>
  <c r="Q11" i="1"/>
  <c r="O11" i="1" s="1"/>
  <c r="O13" i="1" s="1"/>
  <c r="Q10" i="1"/>
  <c r="O10" i="1" s="1"/>
  <c r="Q9" i="1"/>
  <c r="Q8" i="1"/>
  <c r="O8" i="1" s="1"/>
  <c r="C8" i="1" l="1"/>
  <c r="B7" i="1"/>
  <c r="O9" i="1"/>
  <c r="L8" i="1" s="1"/>
  <c r="C9" i="1" l="1"/>
  <c r="B8" i="1"/>
  <c r="C10" i="1" l="1"/>
  <c r="C11" i="1" l="1"/>
  <c r="C12" i="1" l="1"/>
  <c r="H38" i="1"/>
  <c r="A9" i="1"/>
  <c r="B9" i="1" s="1"/>
  <c r="C13" i="1" l="1"/>
  <c r="A10" i="1"/>
  <c r="B10" i="1" s="1"/>
  <c r="C14" i="1" l="1"/>
  <c r="A11" i="1"/>
  <c r="B11" i="1" s="1"/>
  <c r="C15" i="1" l="1"/>
  <c r="A12" i="1"/>
  <c r="B12" i="1" s="1"/>
  <c r="C16" i="1" l="1"/>
  <c r="A13" i="1"/>
  <c r="B13" i="1" s="1"/>
  <c r="C17" i="1" l="1"/>
  <c r="A14" i="1"/>
  <c r="B14" i="1" s="1"/>
  <c r="C18" i="1" l="1"/>
  <c r="A15" i="1"/>
  <c r="B15" i="1" s="1"/>
  <c r="C19" i="1" l="1"/>
  <c r="A16" i="1"/>
  <c r="B16" i="1" s="1"/>
  <c r="C20" i="1" l="1"/>
  <c r="A17" i="1"/>
  <c r="B17" i="1" s="1"/>
  <c r="C21" i="1" l="1"/>
  <c r="A18" i="1"/>
  <c r="B18" i="1" s="1"/>
  <c r="C22" i="1" l="1"/>
  <c r="A19" i="1"/>
  <c r="B19" i="1" s="1"/>
  <c r="C23" i="1" l="1"/>
  <c r="A20" i="1"/>
  <c r="B20" i="1" s="1"/>
  <c r="C24" i="1" l="1"/>
  <c r="A21" i="1"/>
  <c r="B21" i="1" s="1"/>
  <c r="C25" i="1" l="1"/>
  <c r="A22" i="1"/>
  <c r="B22" i="1" s="1"/>
  <c r="C26" i="1" l="1"/>
  <c r="A23" i="1"/>
  <c r="B23" i="1" s="1"/>
  <c r="C27" i="1" l="1"/>
  <c r="A24" i="1"/>
  <c r="B24" i="1" s="1"/>
  <c r="C28" i="1" l="1"/>
  <c r="A25" i="1"/>
  <c r="B25" i="1" s="1"/>
  <c r="C29" i="1" l="1"/>
  <c r="A26" i="1"/>
  <c r="B26" i="1" s="1"/>
  <c r="C30" i="1" l="1"/>
  <c r="A27" i="1"/>
  <c r="B27" i="1" s="1"/>
  <c r="C31" i="1" l="1"/>
  <c r="A28" i="1"/>
  <c r="B28" i="1" s="1"/>
  <c r="C32" i="1" l="1"/>
  <c r="A29" i="1"/>
  <c r="B29" i="1" s="1"/>
  <c r="C33" i="1" l="1"/>
  <c r="A30" i="1"/>
  <c r="B30" i="1" s="1"/>
  <c r="C34" i="1" l="1"/>
  <c r="A31" i="1"/>
  <c r="B31" i="1" s="1"/>
  <c r="C35" i="1" l="1"/>
  <c r="A32" i="1"/>
  <c r="B32" i="1" s="1"/>
  <c r="C36" i="1" l="1"/>
  <c r="A33" i="1"/>
  <c r="B33" i="1" s="1"/>
  <c r="C37" i="1" l="1"/>
  <c r="A34" i="1"/>
  <c r="B34" i="1" s="1"/>
  <c r="A35" i="1" l="1"/>
  <c r="B35" i="1" s="1"/>
  <c r="A36" i="1" l="1"/>
  <c r="B36" i="1" s="1"/>
  <c r="A37" i="1" l="1"/>
  <c r="B37" i="1" s="1"/>
  <c r="I38" i="1" l="1"/>
  <c r="J38" i="1"/>
</calcChain>
</file>

<file path=xl/sharedStrings.xml><?xml version="1.0" encoding="utf-8"?>
<sst xmlns="http://schemas.openxmlformats.org/spreadsheetml/2006/main" count="81" uniqueCount="65">
  <si>
    <t>DIA</t>
  </si>
  <si>
    <t>SEMANA</t>
  </si>
  <si>
    <t>INÍCIO</t>
  </si>
  <si>
    <t>TÉRMINO</t>
  </si>
  <si>
    <t>OBSERVAÇÃO</t>
  </si>
  <si>
    <t>COLABORADOR:</t>
  </si>
  <si>
    <t>TOTAL:</t>
  </si>
  <si>
    <t>VOLTA</t>
  </si>
  <si>
    <t>INTERVALO</t>
  </si>
  <si>
    <t>HORAS TRABALHADAS</t>
  </si>
  <si>
    <t>FLAVIO BARBOSA</t>
  </si>
  <si>
    <t>WILLIAM IZIDORO</t>
  </si>
  <si>
    <t>ALAN SIDNEY</t>
  </si>
  <si>
    <t>FEVEREIRO</t>
  </si>
  <si>
    <t>JANEIRO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</si>
  <si>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</si>
  <si>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</si>
  <si>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</si>
  <si>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</si>
  <si>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</si>
  <si>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</si>
  <si>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</si>
  <si>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</si>
  <si>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</si>
  <si>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</si>
  <si>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Horas a Receber</t>
  </si>
  <si>
    <t>ANO:</t>
  </si>
  <si>
    <t>Assinatura Colaborador</t>
  </si>
  <si>
    <t>Assinatura Gestão</t>
  </si>
  <si>
    <t>FOLHA DE HORA EXTRA</t>
  </si>
  <si>
    <t>MÊS REFERENTE:</t>
  </si>
  <si>
    <t>MARCO JUNIOR</t>
  </si>
  <si>
    <t>RONNEY LARA</t>
  </si>
  <si>
    <t>RAPHAEL ALVES</t>
  </si>
  <si>
    <t>Confraternização Universal</t>
  </si>
  <si>
    <t>Paixão de Cristo</t>
  </si>
  <si>
    <t>Tiradentes</t>
  </si>
  <si>
    <t>Páscoa</t>
  </si>
  <si>
    <t>Dia do Trabalhador</t>
  </si>
  <si>
    <t>Corpo de Cristo</t>
  </si>
  <si>
    <t>Independência</t>
  </si>
  <si>
    <t>Nossa Senhora Aparecida</t>
  </si>
  <si>
    <t>Finados</t>
  </si>
  <si>
    <t>Proclamação da República</t>
  </si>
  <si>
    <t>Natal</t>
  </si>
  <si>
    <t>DATA</t>
  </si>
  <si>
    <t>Aniversário de São Paulo</t>
  </si>
  <si>
    <t>Consciência Negra</t>
  </si>
  <si>
    <t>JANAINA PIRES</t>
  </si>
  <si>
    <t>LEONARDO MESSA</t>
  </si>
  <si>
    <t>CAIQUE NOVAES</t>
  </si>
  <si>
    <t>Revolução de 32</t>
  </si>
  <si>
    <t>CRISTIANO ALVES</t>
  </si>
  <si>
    <t>ANDERSON FRANCIS</t>
  </si>
  <si>
    <t>LUANA URZUA</t>
  </si>
  <si>
    <t>RAPHAELLA ROCHA</t>
  </si>
  <si>
    <t>DANIEL REIS</t>
  </si>
  <si>
    <t>DANIEL CORSI</t>
  </si>
  <si>
    <t>ENZO KOJI</t>
  </si>
  <si>
    <t>THAIS MURANO</t>
  </si>
  <si>
    <t>PATRICIA MARTINS</t>
  </si>
  <si>
    <t>BRUNO DOS ANJOS</t>
  </si>
  <si>
    <t>AMAURI SILVA</t>
  </si>
  <si>
    <t>DEIVID MOREIRA</t>
  </si>
  <si>
    <t>DANIEL MENDES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</si>
</sst>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R$&quot;* #,##0.00_);_(&quot;R$&quot;* \(#,##0.00\);_(&quot;R$&quot;* &quot;-&quot;??_);_(@_)"/>
    <numFmt numFmtId="165" formatCode="0."/>
    <numFmt numFmtId="166" formatCode="[$-F400]h:mm:ss\ AM/PM"/>
    <numFmt numFmtId="167" formatCode="[h]:mm:ss;@"/>
    <numFmt numFmtId="168" formatCode="dd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 tint="0.14996795556505021"/>
      <name val="Arial"/>
      <family val="2"/>
    </font>
    <font>
      <sz val="18"/>
      <color rgb="FF217346"/>
      <name val="Arial"/>
      <family val="2"/>
    </font>
    <font>
      <sz val="11"/>
      <color theme="1" tint="0.14993743705557422"/>
      <name val="Arial"/>
      <family val="2"/>
    </font>
    <font>
      <b/>
      <sz val="12"/>
      <color rgb="FF217346"/>
      <name val="Arial"/>
      <family val="2"/>
    </font>
    <font>
      <sz val="16"/>
      <color theme="1" tint="0.14996795556505021"/>
      <name val="Arial"/>
      <family val="2"/>
    </font>
    <font>
      <b/>
      <sz val="16"/>
      <color rgb="FF217346"/>
      <name val="Arial"/>
      <family val="2"/>
    </font>
    <font>
      <sz val="22"/>
      <color theme="0"/>
      <name val="Arial"/>
      <family val="2"/>
    </font>
    <font>
      <sz val="26"/>
      <color theme="1" tint="0.14996795556505021"/>
      <name val="Arial"/>
      <family val="2"/>
    </font>
    <font>
      <sz val="26"/>
      <color theme="0"/>
      <name val="Arial"/>
      <family val="2"/>
    </font>
    <font>
      <b/>
      <sz val="12"/>
      <color theme="0"/>
      <name val="Arial"/>
      <family val="2"/>
    </font>
    <font>
      <sz val="40"/>
      <color theme="0"/>
      <name val="Arial"/>
      <family val="2"/>
    </font>
    <font>
      <sz val="12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1734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lightGray">
        <bgColor theme="5"/>
      </patternFill>
    </fill>
    <fill>
      <patternFill patternType="solid">
        <fgColor theme="5" tint="-0.49998474074526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rgb="FF217346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</borders>
  <cellStyleXfs count="16">
    <xf numFmtId="0" fontId="0" fillId="0" borderId="0"/>
    <xf numFmtId="0" fontId="9" fillId="3" borderId="0">
      <alignment horizontal="left" indent="1"/>
    </xf>
    <xf numFmtId="0" fontId="10" fillId="3" borderId="0" applyNumberFormat="0" applyProtection="0">
      <alignment horizontal="right"/>
    </xf>
    <xf numFmtId="0" fontId="11" fillId="0" borderId="0">
      <alignment horizontal="left" indent="1"/>
    </xf>
    <xf numFmtId="164" fontId="9" fillId="0" borderId="0" applyFont="0" applyFill="0" applyBorder="0" applyAlignment="0" applyProtection="0"/>
    <xf numFmtId="0" fontId="9" fillId="0" borderId="0">
      <alignment horizontal="left" indent="1"/>
    </xf>
    <xf numFmtId="165" fontId="12" fillId="3" borderId="0">
      <alignment horizontal="center" vertical="top" wrapText="1"/>
    </xf>
    <xf numFmtId="0" fontId="13" fillId="3" borderId="0">
      <alignment horizontal="left" vertical="top" wrapText="1" indent="1"/>
    </xf>
    <xf numFmtId="0" fontId="14" fillId="3" borderId="0">
      <alignment horizontal="left" vertical="top" wrapText="1"/>
    </xf>
    <xf numFmtId="0" fontId="9" fillId="3" borderId="0">
      <alignment horizontal="left" vertical="top" wrapText="1"/>
    </xf>
    <xf numFmtId="0" fontId="15" fillId="4" borderId="0" applyProtection="0">
      <alignment horizontal="left" indent="1"/>
    </xf>
    <xf numFmtId="0" fontId="16" fillId="3" borderId="1" applyProtection="0">
      <alignment horizontal="left" indent="1"/>
    </xf>
    <xf numFmtId="0" fontId="17" fillId="4" borderId="0" applyProtection="0">
      <alignment horizontal="left" indent="1"/>
    </xf>
    <xf numFmtId="0" fontId="18" fillId="4" borderId="0" applyNumberFormat="0" applyBorder="0" applyProtection="0">
      <alignment horizontal="left" indent="1"/>
    </xf>
    <xf numFmtId="0" fontId="19" fillId="4" borderId="0" applyProtection="0">
      <alignment horizontal="left" indent="1"/>
    </xf>
    <xf numFmtId="0" fontId="7" fillId="0" borderId="0"/>
  </cellStyleXfs>
  <cellXfs count="66">
    <xf numFmtId="0" fontId="0" fillId="0" borderId="0" xfId="0"/>
    <xf numFmtId="0" fontId="0" fillId="2" borderId="0" xfId="0" applyFill="1" applyAlignment="1">
      <alignment vertical="center"/>
    </xf>
    <xf numFmtId="0" fontId="20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7" borderId="17" xfId="0" applyFont="1" applyFill="1" applyBorder="1" applyAlignment="1">
      <alignment horizontal="center" vertical="center"/>
    </xf>
    <xf numFmtId="0" fontId="8" fillId="7" borderId="18" xfId="0" applyFont="1" applyFill="1" applyBorder="1" applyAlignment="1">
      <alignment horizontal="center" vertical="center"/>
    </xf>
    <xf numFmtId="0" fontId="8" fillId="7" borderId="19" xfId="0" applyFont="1" applyFill="1" applyBorder="1" applyAlignment="1">
      <alignment horizontal="center" vertical="center"/>
    </xf>
    <xf numFmtId="167" fontId="8" fillId="6" borderId="3" xfId="0" applyNumberFormat="1" applyFont="1" applyFill="1" applyBorder="1" applyAlignment="1">
      <alignment horizontal="center" vertical="center"/>
    </xf>
    <xf numFmtId="0" fontId="8" fillId="8" borderId="15" xfId="0" applyFont="1" applyFill="1" applyBorder="1" applyAlignment="1">
      <alignment horizontal="right" vertical="center"/>
    </xf>
    <xf numFmtId="0" fontId="8" fillId="8" borderId="0" xfId="0" applyFont="1" applyFill="1" applyAlignment="1">
      <alignment horizontal="right" vertical="center"/>
    </xf>
    <xf numFmtId="9" fontId="8" fillId="6" borderId="16" xfId="0" applyNumberFormat="1" applyFont="1" applyFill="1" applyBorder="1" applyAlignment="1">
      <alignment horizontal="center" vertical="center"/>
    </xf>
    <xf numFmtId="0" fontId="22" fillId="2" borderId="0" xfId="0" applyFont="1" applyFill="1" applyAlignment="1">
      <alignment horizontal="left" vertical="center"/>
    </xf>
    <xf numFmtId="0" fontId="22" fillId="2" borderId="0" xfId="0" applyFont="1" applyFill="1" applyAlignment="1">
      <alignment vertical="center"/>
    </xf>
    <xf numFmtId="166" fontId="0" fillId="2" borderId="2" xfId="0" applyNumberFormat="1" applyFill="1" applyBorder="1" applyAlignment="1" applyProtection="1">
      <alignment horizontal="center" vertical="center"/>
      <protection locked="0"/>
    </xf>
    <xf numFmtId="0" fontId="0" fillId="2" borderId="9" xfId="0" applyFill="1" applyBorder="1" applyAlignment="1" applyProtection="1">
      <alignment horizontal="center" vertical="center"/>
      <protection locked="0"/>
    </xf>
    <xf numFmtId="0" fontId="0" fillId="2" borderId="15" xfId="0" applyFill="1" applyBorder="1" applyAlignment="1">
      <alignment vertical="center"/>
    </xf>
    <xf numFmtId="0" fontId="0" fillId="2" borderId="15" xfId="0" applyFill="1" applyBorder="1" applyAlignment="1">
      <alignment horizontal="center" vertical="center"/>
    </xf>
    <xf numFmtId="0" fontId="8" fillId="8" borderId="20" xfId="0" applyFont="1" applyFill="1" applyBorder="1" applyAlignment="1">
      <alignment horizontal="right" vertical="center"/>
    </xf>
    <xf numFmtId="49" fontId="21" fillId="5" borderId="3" xfId="0" applyNumberFormat="1" applyFont="1" applyFill="1" applyBorder="1" applyAlignment="1" applyProtection="1">
      <alignment horizontal="left" vertical="center" indent="1"/>
      <protection locked="0"/>
    </xf>
    <xf numFmtId="0" fontId="21" fillId="5" borderId="3" xfId="0" applyFont="1" applyFill="1" applyBorder="1" applyAlignment="1" applyProtection="1">
      <alignment horizontal="left" vertical="center" indent="1"/>
      <protection locked="0"/>
    </xf>
    <xf numFmtId="0" fontId="8" fillId="8" borderId="23" xfId="0" applyFont="1" applyFill="1" applyBorder="1" applyAlignment="1">
      <alignment horizontal="right" vertical="center"/>
    </xf>
    <xf numFmtId="49" fontId="8" fillId="8" borderId="7" xfId="0" applyNumberFormat="1" applyFont="1" applyFill="1" applyBorder="1" applyAlignment="1">
      <alignment vertical="center"/>
    </xf>
    <xf numFmtId="0" fontId="8" fillId="8" borderId="21" xfId="0" applyFont="1" applyFill="1" applyBorder="1" applyAlignment="1">
      <alignment horizontal="right" vertical="center"/>
    </xf>
    <xf numFmtId="0" fontId="8" fillId="8" borderId="7" xfId="0" applyFont="1" applyFill="1" applyBorder="1" applyAlignment="1">
      <alignment horizontal="right" vertical="center"/>
    </xf>
    <xf numFmtId="166" fontId="0" fillId="2" borderId="13" xfId="0" applyNumberFormat="1" applyFill="1" applyBorder="1" applyAlignment="1" applyProtection="1">
      <alignment horizontal="center" vertical="center"/>
      <protection locked="0"/>
    </xf>
    <xf numFmtId="0" fontId="0" fillId="2" borderId="14" xfId="0" applyFill="1" applyBorder="1" applyAlignment="1" applyProtection="1">
      <alignment horizontal="center" vertical="center"/>
      <protection locked="0"/>
    </xf>
    <xf numFmtId="166" fontId="0" fillId="2" borderId="10" xfId="0" applyNumberFormat="1" applyFill="1" applyBorder="1" applyAlignment="1" applyProtection="1">
      <alignment horizontal="center" vertical="center"/>
      <protection locked="0"/>
    </xf>
    <xf numFmtId="0" fontId="0" fillId="2" borderId="11" xfId="0" applyFill="1" applyBorder="1" applyAlignment="1" applyProtection="1">
      <alignment horizontal="center" vertical="center"/>
      <protection locked="0"/>
    </xf>
    <xf numFmtId="14" fontId="0" fillId="2" borderId="0" xfId="0" applyNumberFormat="1" applyFill="1" applyAlignment="1">
      <alignment vertical="center"/>
    </xf>
    <xf numFmtId="168" fontId="0" fillId="2" borderId="12" xfId="0" applyNumberFormat="1" applyFill="1" applyBorder="1" applyAlignment="1">
      <alignment horizontal="center" vertical="center"/>
    </xf>
    <xf numFmtId="168" fontId="0" fillId="2" borderId="8" xfId="0" applyNumberFormat="1" applyFill="1" applyBorder="1" applyAlignment="1">
      <alignment horizontal="center" vertical="center"/>
    </xf>
    <xf numFmtId="168" fontId="0" fillId="2" borderId="25" xfId="0" applyNumberFormat="1" applyFill="1" applyBorder="1" applyAlignment="1">
      <alignment horizontal="center" vertical="center"/>
    </xf>
    <xf numFmtId="166" fontId="0" fillId="2" borderId="13" xfId="0" applyNumberFormat="1" applyFill="1" applyBorder="1" applyAlignment="1">
      <alignment horizontal="center" vertical="center"/>
    </xf>
    <xf numFmtId="0" fontId="8" fillId="8" borderId="0" xfId="0" applyFont="1" applyFill="1" applyAlignment="1">
      <alignment horizontal="left" vertical="center" indent="1"/>
    </xf>
    <xf numFmtId="14" fontId="0" fillId="0" borderId="3" xfId="0" applyNumberFormat="1" applyBorder="1"/>
    <xf numFmtId="0" fontId="0" fillId="0" borderId="3" xfId="0" applyBorder="1" applyAlignment="1">
      <alignment horizontal="left"/>
    </xf>
    <xf numFmtId="0" fontId="0" fillId="0" borderId="3" xfId="0" applyBorder="1"/>
    <xf numFmtId="14" fontId="0" fillId="2" borderId="13" xfId="0" applyNumberForma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vertical="center"/>
    </xf>
    <xf numFmtId="0" fontId="25" fillId="2" borderId="3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14" fontId="20" fillId="2" borderId="0" xfId="0" applyNumberFormat="1" applyFont="1" applyFill="1" applyAlignment="1">
      <alignment vertical="center"/>
    </xf>
    <xf numFmtId="0" fontId="20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24" fillId="8" borderId="4" xfId="0" applyFont="1" applyFill="1" applyBorder="1" applyAlignment="1">
      <alignment horizontal="center" vertical="center"/>
    </xf>
    <xf numFmtId="0" fontId="24" fillId="8" borderId="5" xfId="0" applyFont="1" applyFill="1" applyBorder="1" applyAlignment="1">
      <alignment horizontal="center" vertical="center"/>
    </xf>
    <xf numFmtId="0" fontId="24" fillId="8" borderId="6" xfId="0" applyFont="1" applyFill="1" applyBorder="1" applyAlignment="1">
      <alignment horizontal="center" vertical="center"/>
    </xf>
    <xf numFmtId="0" fontId="8" fillId="6" borderId="20" xfId="0" applyFont="1" applyFill="1" applyBorder="1" applyAlignment="1">
      <alignment horizontal="center" vertical="center"/>
    </xf>
    <xf numFmtId="0" fontId="8" fillId="6" borderId="21" xfId="0" applyFont="1" applyFill="1" applyBorder="1" applyAlignment="1">
      <alignment horizontal="center" vertical="center"/>
    </xf>
    <xf numFmtId="0" fontId="8" fillId="6" borderId="24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8" fillId="6" borderId="22" xfId="0" applyFont="1" applyFill="1" applyBorder="1" applyAlignment="1">
      <alignment horizontal="center" vertical="center" wrapText="1"/>
    </xf>
    <xf numFmtId="0" fontId="8" fillId="6" borderId="16" xfId="0" applyFont="1" applyFill="1" applyBorder="1" applyAlignment="1">
      <alignment horizontal="center" vertical="center" wrapText="1"/>
    </xf>
    <xf numFmtId="0" fontId="8" fillId="8" borderId="23" xfId="0" applyFont="1" applyFill="1" applyBorder="1" applyAlignment="1">
      <alignment horizontal="right" vertical="center"/>
    </xf>
    <xf numFmtId="0" fontId="8" fillId="8" borderId="0" xfId="0" applyFont="1" applyFill="1" applyAlignment="1">
      <alignment horizontal="right" vertical="center"/>
    </xf>
    <xf numFmtId="0" fontId="23" fillId="2" borderId="5" xfId="0" applyFont="1" applyFill="1" applyBorder="1" applyAlignment="1">
      <alignment horizontal="center" vertical="center"/>
    </xf>
    <xf numFmtId="0" fontId="21" fillId="5" borderId="17" xfId="0" applyFont="1" applyFill="1" applyBorder="1" applyAlignment="1" applyProtection="1">
      <alignment horizontal="left" vertical="center" indent="1"/>
      <protection locked="0"/>
    </xf>
    <xf numFmtId="0" fontId="21" fillId="5" borderId="19" xfId="0" applyFont="1" applyFill="1" applyBorder="1" applyAlignment="1" applyProtection="1">
      <alignment horizontal="left" vertical="center" indent="1"/>
      <protection locked="0"/>
    </xf>
    <xf numFmtId="0" fontId="8" fillId="6" borderId="3" xfId="0" applyFont="1" applyFill="1" applyBorder="1" applyAlignment="1">
      <alignment horizontal="center" vertical="center"/>
    </xf>
  </cellXfs>
  <cellStyles count="16">
    <cellStyle name="Descrição" xfId="1" xr:uid="{00000000-0005-0000-0000-000000000000}"/>
    <cellStyle name="Hiperlink 2" xfId="2" xr:uid="{00000000-0005-0000-0000-000001000000}"/>
    <cellStyle name="Itens de tabela" xfId="3" xr:uid="{00000000-0005-0000-0000-000002000000}"/>
    <cellStyle name="Moeda 2" xfId="4" xr:uid="{00000000-0005-0000-0000-000003000000}"/>
    <cellStyle name="Normal" xfId="0" builtinId="0"/>
    <cellStyle name="Normal 2" xfId="5" xr:uid="{00000000-0005-0000-0000-000005000000}"/>
    <cellStyle name="Normal 3" xfId="15" xr:uid="{00000000-0005-0000-0000-000006000000}"/>
    <cellStyle name="Numeração de Dica" xfId="6" xr:uid="{00000000-0005-0000-0000-000007000000}"/>
    <cellStyle name="Saiba Mais Título" xfId="7" xr:uid="{00000000-0005-0000-0000-000008000000}"/>
    <cellStyle name="Saiba Mais Título 2" xfId="8" xr:uid="{00000000-0005-0000-0000-000009000000}"/>
    <cellStyle name="Texto de Dica" xfId="9" xr:uid="{00000000-0005-0000-0000-00000A000000}"/>
    <cellStyle name="Título 1 2" xfId="10" xr:uid="{00000000-0005-0000-0000-00000B000000}"/>
    <cellStyle name="Título 2 2" xfId="11" xr:uid="{00000000-0005-0000-0000-00000C000000}"/>
    <cellStyle name="Título 3 2" xfId="12" xr:uid="{00000000-0005-0000-0000-00000D000000}"/>
    <cellStyle name="Título 4 2" xfId="13" xr:uid="{00000000-0005-0000-0000-00000E000000}"/>
    <cellStyle name="Título 5" xfId="14" xr:uid="{00000000-0005-0000-0000-00000F000000}"/>
  </cellStyles>
  <dxfs count="9">
    <dxf>
      <font>
        <color theme="0" tint="-0.24994659260841701"/>
      </font>
      <fill>
        <patternFill patternType="mediumGray">
          <fgColor theme="0" tint="-0.14996795556505021"/>
          <bgColor theme="0"/>
        </patternFill>
      </fill>
    </dxf>
    <dxf>
      <font>
        <color theme="0" tint="-0.24994659260841701"/>
      </font>
      <fill>
        <patternFill patternType="mediumGray">
          <fgColor theme="0" tint="-0.14996795556505021"/>
        </patternFill>
      </fill>
    </dxf>
    <dxf>
      <font>
        <color theme="0" tint="-0.24994659260841701"/>
      </font>
      <fill>
        <patternFill patternType="mediumGray">
          <fgColor theme="0" tint="-0.14996795556505021"/>
        </patternFill>
      </fill>
    </dxf>
    <dxf>
      <font>
        <color theme="0" tint="-0.24994659260841701"/>
      </font>
      <fill>
        <patternFill patternType="mediumGray">
          <fgColor theme="0" tint="-0.14996795556505021"/>
        </patternFill>
      </fill>
    </dxf>
    <dxf>
      <font>
        <color theme="0" tint="-0.24994659260841701"/>
      </font>
      <fill>
        <patternFill patternType="mediumGray">
          <fgColor theme="0" tint="-0.14993743705557422"/>
        </patternFill>
      </fill>
    </dxf>
    <dxf>
      <font>
        <color theme="0" tint="-0.24994659260841701"/>
      </font>
      <fill>
        <patternFill patternType="mediumGray">
          <f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>
    <tabColor theme="1"/>
    <pageSetUpPr fitToPage="1"/>
  </sheetPr>
  <dimension ref="A1:Q43"/>
  <sheetViews>
    <sheetView tabSelected="1" workbookViewId="0">
      <selection activeCell="G17" sqref="G17"/>
    </sheetView>
  </sheetViews>
  <sheetFormatPr defaultColWidth="9.08984375" defaultRowHeight="14.5" x14ac:dyDescent="0.35"/>
  <cols>
    <col min="1" max="1" width="16.6328125" style="3" customWidth="1"/>
    <col min="2" max="3" width="16.6328125" style="1" customWidth="1"/>
    <col min="4" max="7" width="13.6328125" style="3" customWidth="1"/>
    <col min="8" max="8" width="17" style="1" customWidth="1"/>
    <col min="9" max="10" width="13.6328125" style="3" customWidth="1"/>
    <col min="11" max="11" width="30.54296875" style="3" customWidth="1"/>
    <col min="12" max="12" width="12.453125" style="1" bestFit="1" customWidth="1"/>
    <col min="13" max="13" width="21.6328125" style="13" hidden="1" customWidth="1"/>
    <col min="14" max="14" width="11.54296875" style="14" hidden="1" customWidth="1"/>
    <col min="15" max="15" width="10.6328125" style="1" hidden="1" customWidth="1"/>
    <col min="16" max="16" width="25.08984375" style="1" hidden="1" customWidth="1"/>
    <col min="17" max="17" width="9.08984375" style="1" hidden="1" customWidth="1"/>
    <col min="18" max="16384" width="9.08984375" style="1"/>
  </cols>
  <sheetData>
    <row r="1" spans="1:17" ht="18.5" x14ac:dyDescent="0.35">
      <c r="A1" s="51" t="s">
        <v>29</v>
      </c>
      <c r="B1" s="52"/>
      <c r="C1" s="52"/>
      <c r="D1" s="52"/>
      <c r="E1" s="52"/>
      <c r="F1" s="52"/>
      <c r="G1" s="52"/>
      <c r="H1" s="52"/>
      <c r="I1" s="52"/>
      <c r="J1" s="52"/>
      <c r="K1" s="53"/>
    </row>
    <row r="2" spans="1:17" s="2" customFormat="1" ht="6" customHeight="1" x14ac:dyDescent="0.35">
      <c r="A2" s="22"/>
      <c r="B2" s="11"/>
      <c r="C2" s="11"/>
      <c r="D2" s="11"/>
      <c r="E2" s="11"/>
      <c r="F2" s="11"/>
      <c r="G2" s="11"/>
      <c r="H2" s="11"/>
      <c r="I2" s="11"/>
      <c r="J2" s="11"/>
      <c r="K2" s="25"/>
    </row>
    <row r="3" spans="1:17" s="2" customFormat="1" ht="15.5" x14ac:dyDescent="0.35">
      <c r="A3" s="60" t="s">
        <v>5</v>
      </c>
      <c r="B3" s="61"/>
      <c r="C3" s="11"/>
      <c r="D3" s="63" t="s">
        <v>50</v>
      </c>
      <c r="E3" s="64"/>
      <c r="F3" s="35"/>
      <c r="G3" s="11" t="s">
        <v>30</v>
      </c>
      <c r="H3" s="20" t="s">
        <v>16</v>
      </c>
      <c r="I3" s="11" t="s">
        <v>26</v>
      </c>
      <c r="J3" s="21">
        <v>2026</v>
      </c>
      <c r="K3" s="23"/>
      <c r="M3" s="49"/>
    </row>
    <row r="4" spans="1:17" s="2" customFormat="1" ht="6" customHeight="1" x14ac:dyDescent="0.35">
      <c r="A4" s="19"/>
      <c r="B4" s="10"/>
      <c r="C4" s="10"/>
      <c r="D4" s="10"/>
      <c r="E4" s="10"/>
      <c r="F4" s="10"/>
      <c r="G4" s="10"/>
      <c r="H4" s="10"/>
      <c r="I4" s="10"/>
      <c r="J4" s="10"/>
      <c r="K4" s="24"/>
    </row>
    <row r="5" spans="1:17" s="2" customFormat="1" ht="15" customHeight="1" x14ac:dyDescent="0.35">
      <c r="A5" s="56" t="s">
        <v>0</v>
      </c>
      <c r="B5" s="56" t="s">
        <v>1</v>
      </c>
      <c r="C5" s="56" t="s">
        <v>45</v>
      </c>
      <c r="D5" s="65" t="s">
        <v>2</v>
      </c>
      <c r="E5" s="65" t="s">
        <v>8</v>
      </c>
      <c r="F5" s="65" t="s">
        <v>7</v>
      </c>
      <c r="G5" s="65" t="s">
        <v>3</v>
      </c>
      <c r="H5" s="58" t="s">
        <v>9</v>
      </c>
      <c r="I5" s="54" t="s">
        <v>25</v>
      </c>
      <c r="J5" s="55"/>
      <c r="K5" s="56" t="s">
        <v>4</v>
      </c>
      <c r="M5" s="48"/>
    </row>
    <row r="6" spans="1:17" s="3" customFormat="1" x14ac:dyDescent="0.35">
      <c r="A6" s="57"/>
      <c r="B6" s="57"/>
      <c r="C6" s="57"/>
      <c r="D6" s="65"/>
      <c r="E6" s="65"/>
      <c r="F6" s="65"/>
      <c r="G6" s="65"/>
      <c r="H6" s="59"/>
      <c r="I6" s="12">
        <v>0.5</v>
      </c>
      <c r="J6" s="12">
        <v>1</v>
      </c>
      <c r="K6" s="57"/>
    </row>
    <row r="7" spans="1:17" x14ac:dyDescent="0.35">
      <c r="A7" s="31">
        <f>DATE(J3,MONTH(1&amp;H3)-1,"26")</f>
        <v>46107</v>
      </c>
      <c r="B7" s="4" t="str">
        <f>IF(COUNTIF($O$7:$O$34,C7),"FERIADO",UPPER(TEXT(A7,"dddd")))</f>
        <v>QUINTA-FEIRA</v>
      </c>
      <c r="C7" s="39">
        <f>DATE($J$3,MONTH(1&amp;$H$3)-1,DAY(A7))</f>
        <v>46107</v>
      </c>
      <c r="D7" s="26"/>
      <c r="E7" s="26"/>
      <c r="F7" s="26"/>
      <c r="G7" s="26"/>
      <c r="H7" s="34" t="str">
        <f>IF(AND(D7="",E7="",F7="",G7=""),"",IF(AND(E7="",F7=""),G7-D7,(E7-D7)+(G7-F7)))</f>
        <v/>
      </c>
      <c r="I7" s="34" t="str">
        <f t="shared" ref="I7:I16" si="0">IF(H7="","",IF(OR(B7="SEGUNDA-FEIRA",B7="TERÇA-FEIRA",B7="QUARTA-FEIRA",B7="QUINTA-FEIRA",B7="SEXTA-FEIRA",B7="SÁBADO"),H7,""))</f>
        <v/>
      </c>
      <c r="J7" s="34" t="str">
        <f t="shared" ref="J7:J16" si="1">IF(H7="","",IF(OR(B7="DOMINGO",B7="FERIADO"),H7,""))</f>
        <v/>
      </c>
      <c r="K7" s="27"/>
      <c r="L7" s="30"/>
      <c r="M7" s="40" t="s">
        <v>12</v>
      </c>
      <c r="N7" s="41" t="s">
        <v>14</v>
      </c>
      <c r="O7" s="36">
        <f>DATE(Q7,1,1)</f>
        <v>46023</v>
      </c>
      <c r="P7" s="36" t="s">
        <v>34</v>
      </c>
      <c r="Q7" s="37">
        <f>$J$3</f>
        <v>2026</v>
      </c>
    </row>
    <row r="8" spans="1:17" x14ac:dyDescent="0.35">
      <c r="A8" s="32">
        <f>A7+1</f>
        <v>46108</v>
      </c>
      <c r="B8" s="4" t="str">
        <f t="shared" ref="B8:B37" si="2">IF(COUNTIF($O$7:$O$34,C8),"FERIADO",UPPER(TEXT(A8,"dddd")))</f>
        <v>SEXTA-FEIRA</v>
      </c>
      <c r="C8" s="39">
        <f>C7+1</f>
        <v>46108</v>
      </c>
      <c r="D8" s="26"/>
      <c r="E8" s="26"/>
      <c r="F8" s="26"/>
      <c r="G8" s="26"/>
      <c r="H8" s="34" t="str">
        <f t="shared" ref="H8:H37" si="3">IF(AND(D8="",E8="",F8="",G8=""),"",IF(AND(E8="",F8=""),G8-D8,(E8-D8)+(G8-F8)))</f>
        <v/>
      </c>
      <c r="I8" s="34" t="str">
        <f t="shared" si="0"/>
        <v/>
      </c>
      <c r="J8" s="34" t="str">
        <f t="shared" si="1"/>
        <v/>
      </c>
      <c r="K8" s="16"/>
      <c r="L8" s="30" t="str">
        <f>IF(COUNTIF(O7:O20,L7),"FERIADO","")</f>
        <v/>
      </c>
      <c r="M8" s="50" t="s">
        <v>62</v>
      </c>
      <c r="N8" s="41" t="s">
        <v>13</v>
      </c>
      <c r="O8" s="36">
        <f>DATE(Q8,1,25)</f>
        <v>46047</v>
      </c>
      <c r="P8" s="38" t="s">
        <v>46</v>
      </c>
      <c r="Q8" s="37">
        <f t="shared" ref="Q8:Q20" si="4">$J$3</f>
        <v>2026</v>
      </c>
    </row>
    <row r="9" spans="1:17" x14ac:dyDescent="0.35">
      <c r="A9" s="32">
        <f t="shared" ref="A9:A35" si="5">A8+1</f>
        <v>46109</v>
      </c>
      <c r="B9" s="4" t="str">
        <f t="shared" si="2"/>
        <v>SÁBADO</v>
      </c>
      <c r="C9" s="39">
        <f t="shared" ref="C9:C37" si="6">C8+1</f>
        <v>46109</v>
      </c>
      <c r="D9" s="26"/>
      <c r="E9" s="26"/>
      <c r="F9" s="26"/>
      <c r="G9" s="26"/>
      <c r="H9" s="34" t="str">
        <f t="shared" si="3"/>
        <v/>
      </c>
      <c r="I9" s="34" t="str">
        <f t="shared" si="0"/>
        <v/>
      </c>
      <c r="J9" s="34" t="str">
        <f t="shared" si="1"/>
        <v/>
      </c>
      <c r="K9" s="16"/>
      <c r="M9" s="46" t="s">
        <v>53</v>
      </c>
      <c r="N9" s="41" t="s">
        <v>15</v>
      </c>
      <c r="O9" s="36">
        <f>O11-2</f>
        <v>46115</v>
      </c>
      <c r="P9" s="38" t="s">
        <v>35</v>
      </c>
      <c r="Q9" s="37">
        <f t="shared" si="4"/>
        <v>2026</v>
      </c>
    </row>
    <row r="10" spans="1:17" x14ac:dyDescent="0.35">
      <c r="A10" s="32">
        <f t="shared" si="5"/>
        <v>46110</v>
      </c>
      <c r="B10" s="4" t="str">
        <f t="shared" si="2"/>
        <v>DOMINGO</v>
      </c>
      <c r="C10" s="39">
        <f t="shared" si="6"/>
        <v>46110</v>
      </c>
      <c r="D10" s="26"/>
      <c r="E10" s="26"/>
      <c r="F10" s="26"/>
      <c r="G10" s="26"/>
      <c r="H10" s="34" t="str">
        <f t="shared" si="3"/>
        <v/>
      </c>
      <c r="I10" s="34" t="str">
        <f>IF(H10="","",IF(OR(B10="SEGUNDA-FEIRA",B10="TERÇA-FEIRA",B10="QUARTA-FEIRA",B10="QUINTA-FEIRA",B10="SEXTA-FEIRA",B10="SÁBADO"),H10,""))</f>
        <v/>
      </c>
      <c r="J10" s="34" t="str">
        <f t="shared" si="1"/>
        <v/>
      </c>
      <c r="K10" s="16"/>
      <c r="M10" s="50" t="s">
        <v>61</v>
      </c>
      <c r="N10" s="41" t="s">
        <v>16</v>
      </c>
      <c r="O10" s="36">
        <f>DATE(Q10,4,21)</f>
        <v>46133</v>
      </c>
      <c r="P10" s="36" t="s">
        <v>36</v>
      </c>
      <c r="Q10" s="37">
        <f t="shared" si="4"/>
        <v>2026</v>
      </c>
    </row>
    <row r="11" spans="1:17" x14ac:dyDescent="0.35">
      <c r="A11" s="32">
        <f t="shared" si="5"/>
        <v>46111</v>
      </c>
      <c r="B11" s="4" t="str">
        <f t="shared" si="2"/>
        <v>SEGUNDA-FEIRA</v>
      </c>
      <c r="C11" s="39">
        <f t="shared" si="6"/>
        <v>46111</v>
      </c>
      <c r="D11" s="26"/>
      <c r="E11" s="26"/>
      <c r="F11" s="26"/>
      <c r="G11" s="26"/>
      <c r="H11" s="34" t="str">
        <f t="shared" si="3"/>
        <v/>
      </c>
      <c r="I11" s="34" t="str">
        <f t="shared" si="0"/>
        <v/>
      </c>
      <c r="J11" s="34" t="str">
        <f t="shared" si="1"/>
        <v/>
      </c>
      <c r="K11" s="16"/>
      <c r="M11" s="45" t="s">
        <v>50</v>
      </c>
      <c r="N11" s="41" t="s">
        <v>17</v>
      </c>
      <c r="O11" s="36">
        <f>FLOOR(DAY(MINUTE(Q11/38)/2+56)&amp;"/5"&amp;"/"&amp;Q11,7)-34</f>
        <v>46117</v>
      </c>
      <c r="P11" s="38" t="s">
        <v>37</v>
      </c>
      <c r="Q11" s="37">
        <f t="shared" si="4"/>
        <v>2026</v>
      </c>
    </row>
    <row r="12" spans="1:17" x14ac:dyDescent="0.35">
      <c r="A12" s="32">
        <f t="shared" si="5"/>
        <v>46112</v>
      </c>
      <c r="B12" s="4" t="str">
        <f t="shared" si="2"/>
        <v>TERÇA-FEIRA</v>
      </c>
      <c r="C12" s="39">
        <f t="shared" si="6"/>
        <v>46112</v>
      </c>
      <c r="D12" s="26"/>
      <c r="E12" s="26"/>
      <c r="F12" s="26"/>
      <c r="G12" s="26"/>
      <c r="H12" s="34" t="str">
        <f t="shared" si="3"/>
        <v/>
      </c>
      <c r="I12" s="34" t="str">
        <f t="shared" si="0"/>
        <v/>
      </c>
      <c r="J12" s="34" t="str">
        <f t="shared" si="1"/>
        <v/>
      </c>
      <c r="K12" s="16"/>
      <c r="M12" s="46" t="s">
        <v>52</v>
      </c>
      <c r="N12" s="41" t="s">
        <v>18</v>
      </c>
      <c r="O12" s="36">
        <f>DATE(Q12,5,1)</f>
        <v>46143</v>
      </c>
      <c r="P12" s="38" t="s">
        <v>38</v>
      </c>
      <c r="Q12" s="37">
        <f t="shared" si="4"/>
        <v>2026</v>
      </c>
    </row>
    <row r="13" spans="1:17" x14ac:dyDescent="0.35">
      <c r="A13" s="32">
        <f>A12+1</f>
        <v>46113</v>
      </c>
      <c r="B13" s="4" t="str">
        <f t="shared" si="2"/>
        <v>QUARTA-FEIRA</v>
      </c>
      <c r="C13" s="39">
        <f t="shared" si="6"/>
        <v>46113</v>
      </c>
      <c r="D13" s="26"/>
      <c r="E13" s="26"/>
      <c r="F13" s="26"/>
      <c r="G13" s="26"/>
      <c r="H13" s="34" t="str">
        <f t="shared" si="3"/>
        <v/>
      </c>
      <c r="I13" s="34" t="str">
        <f t="shared" si="0"/>
        <v/>
      </c>
      <c r="J13" s="34" t="str">
        <f t="shared" si="1"/>
        <v/>
      </c>
      <c r="K13" s="16"/>
      <c r="M13" s="50" t="s">
        <v>64</v>
      </c>
      <c r="N13" s="41" t="s">
        <v>19</v>
      </c>
      <c r="O13" s="36">
        <f>O11+60</f>
        <v>46177</v>
      </c>
      <c r="P13" s="38" t="s">
        <v>39</v>
      </c>
      <c r="Q13" s="37">
        <f t="shared" si="4"/>
        <v>2026</v>
      </c>
    </row>
    <row r="14" spans="1:17" x14ac:dyDescent="0.35">
      <c r="A14" s="32">
        <f t="shared" si="5"/>
        <v>46114</v>
      </c>
      <c r="B14" s="4" t="str">
        <f t="shared" si="2"/>
        <v>QUINTA-FEIRA</v>
      </c>
      <c r="C14" s="39">
        <f t="shared" si="6"/>
        <v>46114</v>
      </c>
      <c r="D14" s="26"/>
      <c r="E14" s="26"/>
      <c r="F14" s="26"/>
      <c r="G14" s="26"/>
      <c r="H14" s="34" t="str">
        <f t="shared" si="3"/>
        <v/>
      </c>
      <c r="I14" s="34" t="str">
        <f t="shared" si="0"/>
        <v/>
      </c>
      <c r="J14" s="34" t="str">
        <f t="shared" si="1"/>
        <v/>
      </c>
      <c r="K14" s="16"/>
      <c r="M14" s="47" t="s">
        <v>57</v>
      </c>
      <c r="N14" s="41" t="s">
        <v>20</v>
      </c>
      <c r="O14" s="36">
        <v>45482</v>
      </c>
      <c r="P14" s="38" t="s">
        <v>51</v>
      </c>
      <c r="Q14" s="37">
        <f t="shared" si="4"/>
        <v>2026</v>
      </c>
    </row>
    <row r="15" spans="1:17" x14ac:dyDescent="0.35">
      <c r="A15" s="32">
        <f t="shared" si="5"/>
        <v>46115</v>
      </c>
      <c r="B15" s="4" t="str">
        <f t="shared" si="2"/>
        <v>FERIADO</v>
      </c>
      <c r="C15" s="39">
        <f t="shared" si="6"/>
        <v>46115</v>
      </c>
      <c r="D15" s="26"/>
      <c r="E15" s="26"/>
      <c r="F15" s="26"/>
      <c r="G15" s="26"/>
      <c r="H15" s="34" t="str">
        <f t="shared" si="3"/>
        <v/>
      </c>
      <c r="I15" s="34" t="str">
        <f t="shared" si="0"/>
        <v/>
      </c>
      <c r="J15" s="34" t="str">
        <f t="shared" si="1"/>
        <v/>
      </c>
      <c r="K15" s="16"/>
      <c r="M15" s="47" t="s">
        <v>56</v>
      </c>
      <c r="N15" s="41" t="s">
        <v>21</v>
      </c>
      <c r="O15" s="36">
        <f t="shared" ref="O15" si="7">DATE(Q15,9,7)</f>
        <v>46272</v>
      </c>
      <c r="P15" s="38" t="s">
        <v>40</v>
      </c>
      <c r="Q15" s="37">
        <f t="shared" si="4"/>
        <v>2026</v>
      </c>
    </row>
    <row r="16" spans="1:17" x14ac:dyDescent="0.35">
      <c r="A16" s="32">
        <f t="shared" si="5"/>
        <v>46116</v>
      </c>
      <c r="B16" s="4" t="str">
        <f t="shared" si="2"/>
        <v>SÁBADO</v>
      </c>
      <c r="C16" s="39">
        <f t="shared" si="6"/>
        <v>46116</v>
      </c>
      <c r="D16" s="26"/>
      <c r="E16" s="26"/>
      <c r="F16" s="26"/>
      <c r="G16" s="26"/>
      <c r="H16" s="34" t="str">
        <f t="shared" si="3"/>
        <v/>
      </c>
      <c r="I16" s="34" t="str">
        <f t="shared" si="0"/>
        <v/>
      </c>
      <c r="J16" s="34" t="str">
        <f t="shared" si="1"/>
        <v/>
      </c>
      <c r="K16" s="16"/>
      <c r="M16" s="50" t="s">
        <v>63</v>
      </c>
      <c r="N16" s="41" t="s">
        <v>22</v>
      </c>
      <c r="O16" s="36">
        <f t="shared" ref="O16" si="8">DATE(Q16,10,12)</f>
        <v>46307</v>
      </c>
      <c r="P16" s="38" t="s">
        <v>41</v>
      </c>
      <c r="Q16" s="37">
        <f t="shared" si="4"/>
        <v>2026</v>
      </c>
    </row>
    <row r="17" spans="1:17" x14ac:dyDescent="0.35">
      <c r="A17" s="32">
        <f t="shared" si="5"/>
        <v>46117</v>
      </c>
      <c r="B17" s="4" t="str">
        <f t="shared" si="2"/>
        <v>FERIADO</v>
      </c>
      <c r="C17" s="39">
        <f t="shared" si="6"/>
        <v>46117</v>
      </c>
      <c r="D17" s="26"/>
      <c r="E17" s="26"/>
      <c r="F17" s="26"/>
      <c r="G17" s="26"/>
      <c r="H17" s="34" t="str">
        <f t="shared" si="3"/>
        <v/>
      </c>
      <c r="I17" s="34" t="str">
        <f t="shared" ref="I17:I37" si="9">IF(H17="","",IF(OR(B17="SEGUNDA-FEIRA",B17="TERÇA-FEIRA",B17="QUARTA-FEIRA",B17="QUINTA-FEIRA",B17="SEXTA-FEIRA",B17="SÁBADO"),H17,""))</f>
        <v/>
      </c>
      <c r="J17" s="34" t="str">
        <f t="shared" ref="J17:J37" si="10">IF(H17="","",IF(OR(B17="DOMINGO",B17="FERIADO"),H17,""))</f>
        <v/>
      </c>
      <c r="K17" s="16"/>
      <c r="M17" s="47" t="s">
        <v>58</v>
      </c>
      <c r="N17" s="41" t="s">
        <v>23</v>
      </c>
      <c r="O17" s="36">
        <f t="shared" ref="O17" si="11">DATE(Q17,11,2)</f>
        <v>46328</v>
      </c>
      <c r="P17" s="38" t="s">
        <v>42</v>
      </c>
      <c r="Q17" s="37">
        <f t="shared" si="4"/>
        <v>2026</v>
      </c>
    </row>
    <row r="18" spans="1:17" ht="15.5" x14ac:dyDescent="0.35">
      <c r="A18" s="32">
        <f t="shared" si="5"/>
        <v>46118</v>
      </c>
      <c r="B18" s="4" t="str">
        <f t="shared" si="2"/>
        <v>SEGUNDA-FEIRA</v>
      </c>
      <c r="C18" s="39">
        <f t="shared" si="6"/>
        <v>46118</v>
      </c>
      <c r="D18" s="26"/>
      <c r="E18" s="26"/>
      <c r="F18" s="26"/>
      <c r="G18" s="26"/>
      <c r="H18" s="34" t="str">
        <f t="shared" si="3"/>
        <v/>
      </c>
      <c r="I18" s="34" t="str">
        <f t="shared" si="9"/>
        <v/>
      </c>
      <c r="J18" s="34" t="str">
        <f t="shared" si="10"/>
        <v/>
      </c>
      <c r="K18" s="16"/>
      <c r="M18" s="42" t="s">
        <v>10</v>
      </c>
      <c r="N18" s="41" t="s">
        <v>24</v>
      </c>
      <c r="O18" s="36">
        <f t="shared" ref="O18" si="12">DATE(Q18,11,15)</f>
        <v>46341</v>
      </c>
      <c r="P18" s="38" t="s">
        <v>43</v>
      </c>
      <c r="Q18" s="37">
        <f t="shared" si="4"/>
        <v>2026</v>
      </c>
    </row>
    <row r="19" spans="1:17" x14ac:dyDescent="0.35">
      <c r="A19" s="32">
        <f t="shared" si="5"/>
        <v>46119</v>
      </c>
      <c r="B19" s="4" t="str">
        <f t="shared" si="2"/>
        <v>TERÇA-FEIRA</v>
      </c>
      <c r="C19" s="39">
        <f t="shared" si="6"/>
        <v>46119</v>
      </c>
      <c r="D19" s="26"/>
      <c r="E19" s="26"/>
      <c r="F19" s="26"/>
      <c r="G19" s="26"/>
      <c r="H19" s="34" t="str">
        <f t="shared" si="3"/>
        <v/>
      </c>
      <c r="I19" s="34" t="str">
        <f t="shared" si="9"/>
        <v/>
      </c>
      <c r="J19" s="34" t="str">
        <f t="shared" si="10"/>
        <v/>
      </c>
      <c r="K19" s="16"/>
      <c r="M19" s="43" t="s">
        <v>48</v>
      </c>
      <c r="O19" s="36">
        <f>DATE(Q19,11,20)</f>
        <v>46346</v>
      </c>
      <c r="P19" s="38" t="s">
        <v>47</v>
      </c>
      <c r="Q19" s="37">
        <f t="shared" si="4"/>
        <v>2026</v>
      </c>
    </row>
    <row r="20" spans="1:17" x14ac:dyDescent="0.35">
      <c r="A20" s="32">
        <f t="shared" si="5"/>
        <v>46120</v>
      </c>
      <c r="B20" s="4" t="str">
        <f t="shared" si="2"/>
        <v>QUARTA-FEIRA</v>
      </c>
      <c r="C20" s="39">
        <f t="shared" si="6"/>
        <v>46120</v>
      </c>
      <c r="D20" s="26"/>
      <c r="E20" s="26"/>
      <c r="F20" s="26"/>
      <c r="G20" s="26"/>
      <c r="H20" s="34" t="str">
        <f t="shared" si="3"/>
        <v/>
      </c>
      <c r="I20" s="34" t="str">
        <f t="shared" si="9"/>
        <v/>
      </c>
      <c r="J20" s="34" t="str">
        <f t="shared" si="10"/>
        <v/>
      </c>
      <c r="K20" s="16"/>
      <c r="M20" s="44" t="s">
        <v>49</v>
      </c>
      <c r="O20" s="36">
        <f t="shared" ref="O20" si="13">DATE(Q20,12,25)</f>
        <v>46381</v>
      </c>
      <c r="P20" s="38" t="s">
        <v>44</v>
      </c>
      <c r="Q20" s="37">
        <f t="shared" si="4"/>
        <v>2026</v>
      </c>
    </row>
    <row r="21" spans="1:17" x14ac:dyDescent="0.35">
      <c r="A21" s="32">
        <f t="shared" si="5"/>
        <v>46121</v>
      </c>
      <c r="B21" s="4" t="str">
        <f t="shared" si="2"/>
        <v>QUINTA-FEIRA</v>
      </c>
      <c r="C21" s="39">
        <f t="shared" si="6"/>
        <v>46121</v>
      </c>
      <c r="D21" s="26"/>
      <c r="E21" s="26"/>
      <c r="F21" s="26"/>
      <c r="G21" s="26"/>
      <c r="H21" s="34" t="str">
        <f t="shared" si="3"/>
        <v/>
      </c>
      <c r="I21" s="34" t="str">
        <f t="shared" si="9"/>
        <v/>
      </c>
      <c r="J21" s="34" t="str">
        <f t="shared" si="10"/>
        <v/>
      </c>
      <c r="K21" s="16"/>
      <c r="M21" s="46" t="s">
        <v>54</v>
      </c>
      <c r="O21" s="36">
        <f>DATE(Q21,1,1)</f>
        <v>46388</v>
      </c>
      <c r="P21" s="36" t="s">
        <v>34</v>
      </c>
      <c r="Q21" s="37">
        <f>$J$3+1</f>
        <v>2027</v>
      </c>
    </row>
    <row r="22" spans="1:17" x14ac:dyDescent="0.35">
      <c r="A22" s="32">
        <f t="shared" si="5"/>
        <v>46122</v>
      </c>
      <c r="B22" s="4" t="str">
        <f t="shared" si="2"/>
        <v>SEXTA-FEIRA</v>
      </c>
      <c r="C22" s="39">
        <f t="shared" si="6"/>
        <v>46122</v>
      </c>
      <c r="D22" s="26"/>
      <c r="E22" s="26"/>
      <c r="F22" s="26"/>
      <c r="G22" s="26"/>
      <c r="H22" s="34" t="str">
        <f t="shared" si="3"/>
        <v/>
      </c>
      <c r="I22" s="34" t="str">
        <f t="shared" si="9"/>
        <v/>
      </c>
      <c r="J22" s="34" t="str">
        <f t="shared" si="10"/>
        <v/>
      </c>
      <c r="K22" s="16"/>
      <c r="M22" s="40" t="s">
        <v>31</v>
      </c>
      <c r="O22" s="36">
        <f>DATE(Q22,1,25)</f>
        <v>46412</v>
      </c>
      <c r="P22" s="38" t="s">
        <v>46</v>
      </c>
      <c r="Q22" s="37">
        <f t="shared" ref="Q22:Q34" si="14">$J$3+1</f>
        <v>2027</v>
      </c>
    </row>
    <row r="23" spans="1:17" x14ac:dyDescent="0.35">
      <c r="A23" s="32">
        <f t="shared" si="5"/>
        <v>46123</v>
      </c>
      <c r="B23" s="4" t="str">
        <f t="shared" si="2"/>
        <v>SÁBADO</v>
      </c>
      <c r="C23" s="39">
        <f t="shared" si="6"/>
        <v>46123</v>
      </c>
      <c r="D23" s="15"/>
      <c r="E23" s="15"/>
      <c r="F23" s="15"/>
      <c r="G23" s="15"/>
      <c r="H23" s="34" t="str">
        <f t="shared" si="3"/>
        <v/>
      </c>
      <c r="I23" s="34" t="str">
        <f t="shared" si="9"/>
        <v/>
      </c>
      <c r="J23" s="34" t="str">
        <f t="shared" si="10"/>
        <v/>
      </c>
      <c r="K23" s="16"/>
      <c r="M23" s="50" t="s">
        <v>60</v>
      </c>
      <c r="O23" s="36">
        <f>O25-2</f>
        <v>46472</v>
      </c>
      <c r="P23" s="38" t="s">
        <v>35</v>
      </c>
      <c r="Q23" s="37">
        <f t="shared" si="14"/>
        <v>2027</v>
      </c>
    </row>
    <row r="24" spans="1:17" x14ac:dyDescent="0.35">
      <c r="A24" s="32">
        <f t="shared" si="5"/>
        <v>46124</v>
      </c>
      <c r="B24" s="4" t="str">
        <f t="shared" si="2"/>
        <v>DOMINGO</v>
      </c>
      <c r="C24" s="39">
        <f t="shared" si="6"/>
        <v>46124</v>
      </c>
      <c r="D24" s="15"/>
      <c r="E24" s="15"/>
      <c r="F24" s="15"/>
      <c r="G24" s="15"/>
      <c r="H24" s="34" t="str">
        <f t="shared" si="3"/>
        <v/>
      </c>
      <c r="I24" s="34" t="str">
        <f t="shared" si="9"/>
        <v/>
      </c>
      <c r="J24" s="34" t="str">
        <f t="shared" si="10"/>
        <v/>
      </c>
      <c r="K24" s="16"/>
      <c r="M24" s="40" t="s">
        <v>33</v>
      </c>
      <c r="O24" s="36">
        <f>DATE(Q24,4,21)</f>
        <v>46498</v>
      </c>
      <c r="P24" s="36" t="s">
        <v>36</v>
      </c>
      <c r="Q24" s="37">
        <f t="shared" si="14"/>
        <v>2027</v>
      </c>
    </row>
    <row r="25" spans="1:17" x14ac:dyDescent="0.35">
      <c r="A25" s="32">
        <f t="shared" si="5"/>
        <v>46125</v>
      </c>
      <c r="B25" s="4" t="str">
        <f t="shared" si="2"/>
        <v>SEGUNDA-FEIRA</v>
      </c>
      <c r="C25" s="39">
        <f t="shared" si="6"/>
        <v>46125</v>
      </c>
      <c r="D25" s="15"/>
      <c r="E25" s="15"/>
      <c r="F25" s="15"/>
      <c r="G25" s="15"/>
      <c r="H25" s="34" t="str">
        <f t="shared" si="3"/>
        <v/>
      </c>
      <c r="I25" s="34" t="str">
        <f t="shared" si="9"/>
        <v/>
      </c>
      <c r="J25" s="34" t="str">
        <f t="shared" si="10"/>
        <v/>
      </c>
      <c r="K25" s="16"/>
      <c r="M25" s="47" t="s">
        <v>55</v>
      </c>
      <c r="O25" s="36">
        <f>FLOOR(DAY(MINUTE(Q25/38)/2+56)&amp;"/5"&amp;"/"&amp;Q25,7)-34</f>
        <v>46474</v>
      </c>
      <c r="P25" s="38" t="s">
        <v>37</v>
      </c>
      <c r="Q25" s="37">
        <f t="shared" si="14"/>
        <v>2027</v>
      </c>
    </row>
    <row r="26" spans="1:17" x14ac:dyDescent="0.35">
      <c r="A26" s="32">
        <f t="shared" si="5"/>
        <v>46126</v>
      </c>
      <c r="B26" s="4" t="str">
        <f t="shared" si="2"/>
        <v>TERÇA-FEIRA</v>
      </c>
      <c r="C26" s="39">
        <f t="shared" si="6"/>
        <v>46126</v>
      </c>
      <c r="D26" s="15"/>
      <c r="E26" s="15"/>
      <c r="F26" s="15"/>
      <c r="G26" s="15"/>
      <c r="H26" s="34" t="str">
        <f t="shared" si="3"/>
        <v/>
      </c>
      <c r="I26" s="34" t="str">
        <f t="shared" si="9"/>
        <v/>
      </c>
      <c r="J26" s="34" t="str">
        <f t="shared" si="10"/>
        <v/>
      </c>
      <c r="K26" s="16"/>
      <c r="M26" s="40" t="s">
        <v>32</v>
      </c>
      <c r="O26" s="36">
        <f>DATE(Q26,5,1)</f>
        <v>46508</v>
      </c>
      <c r="P26" s="38" t="s">
        <v>38</v>
      </c>
      <c r="Q26" s="37">
        <f t="shared" si="14"/>
        <v>2027</v>
      </c>
    </row>
    <row r="27" spans="1:17" x14ac:dyDescent="0.35">
      <c r="A27" s="32">
        <f t="shared" si="5"/>
        <v>46127</v>
      </c>
      <c r="B27" s="4" t="str">
        <f t="shared" si="2"/>
        <v>QUARTA-FEIRA</v>
      </c>
      <c r="C27" s="39">
        <f t="shared" si="6"/>
        <v>46127</v>
      </c>
      <c r="D27" s="26"/>
      <c r="E27" s="26"/>
      <c r="F27" s="26"/>
      <c r="G27" s="26"/>
      <c r="H27" s="34" t="str">
        <f t="shared" si="3"/>
        <v/>
      </c>
      <c r="I27" s="34" t="str">
        <f t="shared" si="9"/>
        <v/>
      </c>
      <c r="J27" s="34" t="str">
        <f t="shared" si="10"/>
        <v/>
      </c>
      <c r="K27" s="16"/>
      <c r="M27" s="50" t="s">
        <v>59</v>
      </c>
      <c r="O27" s="36">
        <f>O25+60</f>
        <v>46534</v>
      </c>
      <c r="P27" s="38" t="s">
        <v>39</v>
      </c>
      <c r="Q27" s="37">
        <f t="shared" si="14"/>
        <v>2027</v>
      </c>
    </row>
    <row r="28" spans="1:17" x14ac:dyDescent="0.35">
      <c r="A28" s="32">
        <f t="shared" si="5"/>
        <v>46128</v>
      </c>
      <c r="B28" s="4" t="str">
        <f t="shared" si="2"/>
        <v>QUINTA-FEIRA</v>
      </c>
      <c r="C28" s="39">
        <f t="shared" si="6"/>
        <v>46128</v>
      </c>
      <c r="D28" s="15"/>
      <c r="E28" s="15"/>
      <c r="F28" s="15"/>
      <c r="G28" s="15"/>
      <c r="H28" s="34" t="str">
        <f t="shared" si="3"/>
        <v/>
      </c>
      <c r="I28" s="34" t="str">
        <f t="shared" si="9"/>
        <v/>
      </c>
      <c r="J28" s="34" t="str">
        <f t="shared" si="10"/>
        <v/>
      </c>
      <c r="K28" s="16"/>
      <c r="M28" s="40" t="s">
        <v>11</v>
      </c>
      <c r="O28" s="36">
        <v>45482</v>
      </c>
      <c r="P28" s="38" t="s">
        <v>51</v>
      </c>
      <c r="Q28" s="37">
        <f t="shared" si="14"/>
        <v>2027</v>
      </c>
    </row>
    <row r="29" spans="1:17" x14ac:dyDescent="0.35">
      <c r="A29" s="33">
        <f t="shared" si="5"/>
        <v>46129</v>
      </c>
      <c r="B29" s="4" t="str">
        <f t="shared" si="2"/>
        <v>SEXTA-FEIRA</v>
      </c>
      <c r="C29" s="39">
        <f t="shared" si="6"/>
        <v>46129</v>
      </c>
      <c r="D29" s="15"/>
      <c r="E29" s="15"/>
      <c r="F29" s="15"/>
      <c r="G29" s="15"/>
      <c r="H29" s="34" t="str">
        <f t="shared" si="3"/>
        <v/>
      </c>
      <c r="I29" s="34" t="str">
        <f t="shared" si="9"/>
        <v/>
      </c>
      <c r="J29" s="34" t="str">
        <f t="shared" si="10"/>
        <v/>
      </c>
      <c r="K29" s="16"/>
      <c r="O29" s="36">
        <f t="shared" ref="O29" si="15">DATE(Q29,9,7)</f>
        <v>46637</v>
      </c>
      <c r="P29" s="38" t="s">
        <v>40</v>
      </c>
      <c r="Q29" s="37">
        <f t="shared" si="14"/>
        <v>2027</v>
      </c>
    </row>
    <row r="30" spans="1:17" x14ac:dyDescent="0.35">
      <c r="A30" s="32">
        <f>A29+1</f>
        <v>46130</v>
      </c>
      <c r="B30" s="4" t="str">
        <f t="shared" si="2"/>
        <v>SÁBADO</v>
      </c>
      <c r="C30" s="39">
        <f t="shared" si="6"/>
        <v>46130</v>
      </c>
      <c r="D30" s="15"/>
      <c r="E30" s="15"/>
      <c r="F30" s="15"/>
      <c r="G30" s="15"/>
      <c r="H30" s="34" t="str">
        <f t="shared" si="3"/>
        <v/>
      </c>
      <c r="I30" s="34" t="str">
        <f t="shared" si="9"/>
        <v/>
      </c>
      <c r="J30" s="34" t="str">
        <f t="shared" si="10"/>
        <v/>
      </c>
      <c r="K30" s="16"/>
      <c r="O30" s="36">
        <f t="shared" ref="O30" si="16">DATE(Q30,10,12)</f>
        <v>46672</v>
      </c>
      <c r="P30" s="38" t="s">
        <v>41</v>
      </c>
      <c r="Q30" s="37">
        <f t="shared" si="14"/>
        <v>2027</v>
      </c>
    </row>
    <row r="31" spans="1:17" x14ac:dyDescent="0.35">
      <c r="A31" s="32">
        <f t="shared" si="5"/>
        <v>46131</v>
      </c>
      <c r="B31" s="4" t="str">
        <f t="shared" si="2"/>
        <v>DOMINGO</v>
      </c>
      <c r="C31" s="39">
        <f t="shared" si="6"/>
        <v>46131</v>
      </c>
      <c r="D31" s="15"/>
      <c r="E31" s="15"/>
      <c r="F31" s="15"/>
      <c r="G31" s="15"/>
      <c r="H31" s="34" t="str">
        <f t="shared" si="3"/>
        <v/>
      </c>
      <c r="I31" s="34" t="str">
        <f t="shared" si="9"/>
        <v/>
      </c>
      <c r="J31" s="34" t="str">
        <f t="shared" si="10"/>
        <v/>
      </c>
      <c r="K31" s="16"/>
      <c r="O31" s="36">
        <f t="shared" ref="O31" si="17">DATE(Q31,11,2)</f>
        <v>46693</v>
      </c>
      <c r="P31" s="38" t="s">
        <v>42</v>
      </c>
      <c r="Q31" s="37">
        <f t="shared" si="14"/>
        <v>2027</v>
      </c>
    </row>
    <row r="32" spans="1:17" x14ac:dyDescent="0.35">
      <c r="A32" s="32">
        <f t="shared" si="5"/>
        <v>46132</v>
      </c>
      <c r="B32" s="4" t="str">
        <f t="shared" si="2"/>
        <v>SEGUNDA-FEIRA</v>
      </c>
      <c r="C32" s="39">
        <f t="shared" si="6"/>
        <v>46132</v>
      </c>
      <c r="D32" s="15"/>
      <c r="E32" s="15"/>
      <c r="F32" s="15"/>
      <c r="G32" s="15"/>
      <c r="H32" s="34" t="str">
        <f t="shared" si="3"/>
        <v/>
      </c>
      <c r="I32" s="34" t="str">
        <f t="shared" si="9"/>
        <v/>
      </c>
      <c r="J32" s="34" t="str">
        <f t="shared" si="10"/>
        <v/>
      </c>
      <c r="K32" s="16"/>
      <c r="O32" s="36">
        <f t="shared" ref="O32" si="18">DATE(Q32,11,15)</f>
        <v>46706</v>
      </c>
      <c r="P32" s="38" t="s">
        <v>43</v>
      </c>
      <c r="Q32" s="37">
        <f t="shared" si="14"/>
        <v>2027</v>
      </c>
    </row>
    <row r="33" spans="1:17" x14ac:dyDescent="0.35">
      <c r="A33" s="32">
        <f t="shared" si="5"/>
        <v>46133</v>
      </c>
      <c r="B33" s="4" t="str">
        <f t="shared" si="2"/>
        <v>FERIADO</v>
      </c>
      <c r="C33" s="39">
        <f t="shared" si="6"/>
        <v>46133</v>
      </c>
      <c r="D33" s="15"/>
      <c r="E33" s="15"/>
      <c r="F33" s="15"/>
      <c r="G33" s="15"/>
      <c r="H33" s="34" t="str">
        <f t="shared" si="3"/>
        <v/>
      </c>
      <c r="I33" s="34" t="str">
        <f t="shared" si="9"/>
        <v/>
      </c>
      <c r="J33" s="34" t="str">
        <f t="shared" si="10"/>
        <v/>
      </c>
      <c r="K33" s="16"/>
      <c r="O33" s="36">
        <f>DATE(Q33,11,20)</f>
        <v>46711</v>
      </c>
      <c r="P33" s="38" t="s">
        <v>47</v>
      </c>
      <c r="Q33" s="37">
        <f t="shared" si="14"/>
        <v>2027</v>
      </c>
    </row>
    <row r="34" spans="1:17" x14ac:dyDescent="0.35">
      <c r="A34" s="32">
        <f t="shared" si="5"/>
        <v>46134</v>
      </c>
      <c r="B34" s="4" t="str">
        <f t="shared" si="2"/>
        <v>QUARTA-FEIRA</v>
      </c>
      <c r="C34" s="39">
        <f t="shared" si="6"/>
        <v>46134</v>
      </c>
      <c r="D34" s="15"/>
      <c r="E34" s="15"/>
      <c r="F34" s="15"/>
      <c r="G34" s="15"/>
      <c r="H34" s="34" t="str">
        <f t="shared" si="3"/>
        <v/>
      </c>
      <c r="I34" s="34" t="str">
        <f t="shared" si="9"/>
        <v/>
      </c>
      <c r="J34" s="34" t="str">
        <f t="shared" si="10"/>
        <v/>
      </c>
      <c r="K34" s="16"/>
      <c r="O34" s="36">
        <f t="shared" ref="O34" si="19">DATE(Q34,12,25)</f>
        <v>46746</v>
      </c>
      <c r="P34" s="38" t="s">
        <v>44</v>
      </c>
      <c r="Q34" s="37">
        <f t="shared" si="14"/>
        <v>2027</v>
      </c>
    </row>
    <row r="35" spans="1:17" x14ac:dyDescent="0.35">
      <c r="A35" s="32">
        <f t="shared" si="5"/>
        <v>46135</v>
      </c>
      <c r="B35" s="4" t="str">
        <f t="shared" si="2"/>
        <v>QUINTA-FEIRA</v>
      </c>
      <c r="C35" s="39">
        <f t="shared" si="6"/>
        <v>46135</v>
      </c>
      <c r="D35" s="15"/>
      <c r="E35" s="15"/>
      <c r="F35" s="15"/>
      <c r="G35" s="15"/>
      <c r="H35" s="34" t="str">
        <f t="shared" si="3"/>
        <v/>
      </c>
      <c r="I35" s="34" t="str">
        <f t="shared" si="9"/>
        <v/>
      </c>
      <c r="J35" s="34" t="str">
        <f t="shared" si="10"/>
        <v/>
      </c>
      <c r="K35" s="16"/>
    </row>
    <row r="36" spans="1:17" x14ac:dyDescent="0.35">
      <c r="A36" s="32">
        <f t="shared" ref="A36:A37" si="20">A35+1</f>
        <v>46136</v>
      </c>
      <c r="B36" s="4" t="str">
        <f t="shared" si="2"/>
        <v>SEXTA-FEIRA</v>
      </c>
      <c r="C36" s="39">
        <f t="shared" si="6"/>
        <v>46136</v>
      </c>
      <c r="D36" s="15"/>
      <c r="E36" s="15"/>
      <c r="F36" s="15"/>
      <c r="G36" s="15"/>
      <c r="H36" s="34" t="str">
        <f t="shared" si="3"/>
        <v/>
      </c>
      <c r="I36" s="34" t="str">
        <f t="shared" si="9"/>
        <v/>
      </c>
      <c r="J36" s="34" t="str">
        <f t="shared" si="10"/>
        <v/>
      </c>
      <c r="K36" s="16"/>
    </row>
    <row r="37" spans="1:17" x14ac:dyDescent="0.35">
      <c r="A37" s="32">
        <f t="shared" si="20"/>
        <v>46137</v>
      </c>
      <c r="B37" s="4" t="str">
        <f t="shared" si="2"/>
        <v>SÁBADO</v>
      </c>
      <c r="C37" s="39">
        <f t="shared" si="6"/>
        <v>46137</v>
      </c>
      <c r="D37" s="28"/>
      <c r="E37" s="28"/>
      <c r="F37" s="28"/>
      <c r="G37" s="28"/>
      <c r="H37" s="34" t="str">
        <f t="shared" si="3"/>
        <v/>
      </c>
      <c r="I37" s="34" t="str">
        <f t="shared" si="9"/>
        <v/>
      </c>
      <c r="J37" s="34" t="str">
        <f t="shared" si="10"/>
        <v/>
      </c>
      <c r="K37" s="29"/>
    </row>
    <row r="38" spans="1:17" x14ac:dyDescent="0.35">
      <c r="A38" s="6"/>
      <c r="B38" s="7"/>
      <c r="C38" s="7"/>
      <c r="D38" s="7"/>
      <c r="E38" s="7"/>
      <c r="F38" s="7"/>
      <c r="G38" s="5" t="s">
        <v>6</v>
      </c>
      <c r="H38" s="9">
        <f>SUM(H7:H37)</f>
        <v>0</v>
      </c>
      <c r="I38" s="9">
        <f>SUM(I7:I37)</f>
        <v>0</v>
      </c>
      <c r="J38" s="9">
        <f>SUM(J7:J37)</f>
        <v>0</v>
      </c>
      <c r="K38" s="8"/>
    </row>
    <row r="42" spans="1:17" x14ac:dyDescent="0.35">
      <c r="B42" s="17"/>
      <c r="C42" s="17"/>
      <c r="D42" s="18"/>
      <c r="E42" s="18"/>
      <c r="H42" s="17"/>
      <c r="I42" s="18"/>
      <c r="J42" s="18"/>
    </row>
    <row r="43" spans="1:17" x14ac:dyDescent="0.35">
      <c r="B43" s="62" t="s">
        <v>27</v>
      </c>
      <c r="C43" s="62"/>
      <c r="D43" s="62"/>
      <c r="E43" s="62"/>
      <c r="H43" s="62" t="s">
        <v>28</v>
      </c>
      <c r="I43" s="62"/>
      <c r="J43" s="62"/>
    </row>
  </sheetData>
  <sheetProtection selectLockedCells="1"/>
  <sortState xmlns:xlrd2="http://schemas.microsoft.com/office/spreadsheetml/2017/richdata2" ref="M7:M28">
    <sortCondition ref="M28"/>
  </sortState>
  <mergeCells count="15">
    <mergeCell ref="B43:E43"/>
    <mergeCell ref="H43:J43"/>
    <mergeCell ref="D3:E3"/>
    <mergeCell ref="G5:G6"/>
    <mergeCell ref="F5:F6"/>
    <mergeCell ref="E5:E6"/>
    <mergeCell ref="D5:D6"/>
    <mergeCell ref="C5:C6"/>
    <mergeCell ref="A1:K1"/>
    <mergeCell ref="I5:J5"/>
    <mergeCell ref="K5:K6"/>
    <mergeCell ref="B5:B6"/>
    <mergeCell ref="H5:H6"/>
    <mergeCell ref="A5:A6"/>
    <mergeCell ref="A3:B3"/>
  </mergeCells>
  <conditionalFormatting sqref="A7:K37">
    <cfRule type="expression" dxfId="8" priority="7">
      <formula>$B7="FERIADO"</formula>
    </cfRule>
    <cfRule type="expression" dxfId="7" priority="8">
      <formula>$B7="DOMINGO"</formula>
    </cfRule>
    <cfRule type="expression" dxfId="6" priority="9">
      <formula>$B7="SÁBADO"</formula>
    </cfRule>
  </conditionalFormatting>
  <conditionalFormatting sqref="A35:K37">
    <cfRule type="expression" dxfId="5" priority="1" stopIfTrue="1">
      <formula>AND($H$3="MARÇO",MOD($J$3,4)&lt;&gt;0)</formula>
    </cfRule>
  </conditionalFormatting>
  <conditionalFormatting sqref="A36:K37">
    <cfRule type="expression" dxfId="4" priority="6" stopIfTrue="1">
      <formula>AND($H$3="MARÇO",MOD($J$3,4)=0)</formula>
    </cfRule>
  </conditionalFormatting>
  <conditionalFormatting sqref="A37:K37">
    <cfRule type="expression" dxfId="3" priority="2" stopIfTrue="1">
      <formula>$H$3="DEZEMBRO"</formula>
    </cfRule>
    <cfRule type="expression" dxfId="2" priority="3" stopIfTrue="1">
      <formula>$H$3="OUTUBRO"</formula>
    </cfRule>
    <cfRule type="expression" dxfId="1" priority="4" stopIfTrue="1">
      <formula>$H$3="JULHO"</formula>
    </cfRule>
    <cfRule type="expression" dxfId="0" priority="5" stopIfTrue="1">
      <formula>$H$3="MAIO"</formula>
    </cfRule>
  </conditionalFormatting>
  <dataValidations count="2">
    <dataValidation type="list" allowBlank="1" showInputMessage="1" showErrorMessage="1" sqref="H3" xr:uid="{00000000-0002-0000-0000-000000000000}">
      <formula1>$N$7:$N$18</formula1>
    </dataValidation>
    <dataValidation type="list" allowBlank="1" showInputMessage="1" showErrorMessage="1" sqref="D3:E3" xr:uid="{00000000-0002-0000-0000-000001000000}">
      <formula1>$M$7:$M$28</formula1>
    </dataValidation>
  </dataValidation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8" orientation="landscape" r:id="rId1"/>
  <ignoredErrors>
    <ignoredError sqref="B8:B3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Folha de HE</vt:lpstr>
      <vt:lpstr>'Folha de HE'!Area_de_impressao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ntlocal</dc:creator>
  <cp:lastModifiedBy>NOVAES Caique (Consulting For ACCOR Hotels)</cp:lastModifiedBy>
  <cp:lastPrinted>2022-02-01T14:26:13Z</cp:lastPrinted>
  <dcterms:created xsi:type="dcterms:W3CDTF">2020-03-03T17:41:27Z</dcterms:created>
  <dcterms:modified xsi:type="dcterms:W3CDTF">2026-04-10T20:25:06Z</dcterms:modified>
</cp:coreProperties>
</file>